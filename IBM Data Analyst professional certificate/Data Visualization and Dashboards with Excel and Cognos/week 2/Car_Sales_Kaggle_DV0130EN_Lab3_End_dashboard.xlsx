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15.ML and Deep Learning Code\Machine-Learning-AND-Deep-Learning-Code\IBM Data Analyst professional certificate\Data Visualization and Dashboards with Excel and Cognos\week 2\"/>
    </mc:Choice>
  </mc:AlternateContent>
  <xr:revisionPtr revIDLastSave="0" documentId="13_ncr:1_{064E8DE5-153F-4880-BD69-7E76401EC921}" xr6:coauthVersionLast="47" xr6:coauthVersionMax="47" xr10:uidLastSave="{00000000-0000-0000-0000-000000000000}"/>
  <bookViews>
    <workbookView xWindow="-120" yWindow="-120" windowWidth="20730" windowHeight="11160"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<sst xmlns="http://schemas.openxmlformats.org/spreadsheetml/2006/main" count="979" uniqueCount="209">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</sst>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0">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7" formatCode="&quot;$&quot;#,##0.00"/>
    </dxf>
    <dxf>
      <numFmt numFmtId="167" formatCode="&quot;$&quot;#,##0.00"/>
    </dxf>
    <dxf>
      <numFmt numFmtId="167" formatCode="&quot;$&quot;#,##0.00"/>
    </dxf>
    <dxf>
      <numFmt numFmtId="167" formatCode="&quot;$&quot;#,##0.00"/>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[Car_Sales_Kaggle_DV0130EN_Lab3_End_dashboard.xlsx]Bar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Chart'!$A$4:$A$11</c:f>
              <c:strCache>
                <c:ptCount val="7"/>
                <c:pt idx="0">
                  <c:v>Jaguar</c:v>
                </c:pt>
                <c:pt idx="1">
                  <c:v>Jeep</c:v>
                </c:pt>
                <c:pt idx="2">
                  <c:v>Lexus</c:v>
                </c:pt>
                <c:pt idx="3">
                  <c:v>Lincoln</c:v>
                </c:pt>
                <c:pt idx="4">
                  <c:v>Mercedes-B</c:v>
                </c:pt>
                <c:pt idx="5">
                  <c:v>Mercury</c:v>
                </c:pt>
                <c:pt idx="6">
                  <c:v>Mitsubishi</c:v>
                </c:pt>
              </c:strCache>
            </c:strRef>
          </c:cat>
          <c:val>
            <c:numRef>
              <c:f>'Bar Chart'!$B$4:$B$11</c:f>
              <c:numCache>
                <c:formatCode>"$"#,##0.00</c:formatCode>
                <c:ptCount val="7"/>
                <c:pt idx="0">
                  <c:v>33219</c:v>
                </c:pt>
                <c:pt idx="1">
                  <c:v>15353.333333333334</c:v>
                </c:pt>
                <c:pt idx="2">
                  <c:v>35231.666666666664</c:v>
                </c:pt>
                <c:pt idx="3">
                  <c:v>21005</c:v>
                </c:pt>
                <c:pt idx="4">
                  <c:v>39876.555555555555</c:v>
                </c:pt>
                <c:pt idx="5">
                  <c:v>13970</c:v>
                </c:pt>
                <c:pt idx="6">
                  <c:v>14262.142857142857</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Chart'!$A$4:$A$11</c:f>
              <c:strCache>
                <c:ptCount val="7"/>
                <c:pt idx="0">
                  <c:v>Jaguar</c:v>
                </c:pt>
                <c:pt idx="1">
                  <c:v>Jeep</c:v>
                </c:pt>
                <c:pt idx="2">
                  <c:v>Lexus</c:v>
                </c:pt>
                <c:pt idx="3">
                  <c:v>Lincoln</c:v>
                </c:pt>
                <c:pt idx="4">
                  <c:v>Mercedes-B</c:v>
                </c:pt>
                <c:pt idx="5">
                  <c:v>Mercury</c:v>
                </c:pt>
                <c:pt idx="6">
                  <c:v>Mitsubishi</c:v>
                </c:pt>
              </c:strCache>
            </c:strRef>
          </c:cat>
          <c:val>
            <c:numRef>
              <c:f>'Bar Chart'!$C$4:$C$11</c:f>
              <c:numCache>
                <c:formatCode>"$"#,##0.00</c:formatCode>
                <c:ptCount val="7"/>
                <c:pt idx="0">
                  <c:v>42800</c:v>
                </c:pt>
                <c:pt idx="1">
                  <c:v>20991.666666666668</c:v>
                </c:pt>
                <c:pt idx="2">
                  <c:v>44055</c:v>
                </c:pt>
                <c:pt idx="3">
                  <c:v>41690</c:v>
                </c:pt>
                <c:pt idx="4">
                  <c:v>52916.666666666664</c:v>
                </c:pt>
                <c:pt idx="5">
                  <c:v>20748.333333333332</c:v>
                </c:pt>
                <c:pt idx="6">
                  <c:v>22167.428571428572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[Car_Sales_Kaggle_DV0130EN_Lab3_End_dashboard.xlsx]Bar Chart!PivotTable4</c:name>
    <c:fmtId val="1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Chart'!$A$4:$A$11</c:f>
              <c:strCache>
                <c:ptCount val="7"/>
                <c:pt idx="0">
                  <c:v>Jaguar</c:v>
                </c:pt>
                <c:pt idx="1">
                  <c:v>Jeep</c:v>
                </c:pt>
                <c:pt idx="2">
                  <c:v>Lexus</c:v>
                </c:pt>
                <c:pt idx="3">
                  <c:v>Lincoln</c:v>
                </c:pt>
                <c:pt idx="4">
                  <c:v>Mercedes-B</c:v>
                </c:pt>
                <c:pt idx="5">
                  <c:v>Mercury</c:v>
                </c:pt>
                <c:pt idx="6">
                  <c:v>Mitsubishi</c:v>
                </c:pt>
              </c:strCache>
            </c:strRef>
          </c:cat>
          <c:val>
            <c:numRef>
              <c:f>'Bar Chart'!$B$4:$B$11</c:f>
              <c:numCache>
                <c:formatCode>"$"#,##0.00</c:formatCode>
                <c:ptCount val="7"/>
                <c:pt idx="0">
                  <c:v>33219</c:v>
                </c:pt>
                <c:pt idx="1">
                  <c:v>15353.333333333334</c:v>
                </c:pt>
                <c:pt idx="2">
                  <c:v>35231.666666666664</c:v>
                </c:pt>
                <c:pt idx="3">
                  <c:v>21005</c:v>
                </c:pt>
                <c:pt idx="4">
                  <c:v>39876.555555555555</c:v>
                </c:pt>
                <c:pt idx="5">
                  <c:v>13970</c:v>
                </c:pt>
                <c:pt idx="6">
                  <c:v>14262.142857142857</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Chart'!$A$4:$A$11</c:f>
              <c:strCache>
                <c:ptCount val="7"/>
                <c:pt idx="0">
                  <c:v>Jaguar</c:v>
                </c:pt>
                <c:pt idx="1">
                  <c:v>Jeep</c:v>
                </c:pt>
                <c:pt idx="2">
                  <c:v>Lexus</c:v>
                </c:pt>
                <c:pt idx="3">
                  <c:v>Lincoln</c:v>
                </c:pt>
                <c:pt idx="4">
                  <c:v>Mercedes-B</c:v>
                </c:pt>
                <c:pt idx="5">
                  <c:v>Mercury</c:v>
                </c:pt>
                <c:pt idx="6">
                  <c:v>Mitsubishi</c:v>
                </c:pt>
              </c:strCache>
            </c:strRef>
          </c:cat>
          <c:val>
            <c:numRef>
              <c:f>'Bar Chart'!$C$4:$C$11</c:f>
              <c:numCache>
                <c:formatCode>"$"#,##0.00</c:formatCode>
                <c:ptCount val="7"/>
                <c:pt idx="0">
                  <c:v>42800</c:v>
                </c:pt>
                <c:pt idx="1">
                  <c:v>20991.666666666668</c:v>
                </c:pt>
                <c:pt idx="2">
                  <c:v>44055</c:v>
                </c:pt>
                <c:pt idx="3">
                  <c:v>41690</c:v>
                </c:pt>
                <c:pt idx="4">
                  <c:v>52916.666666666664</c:v>
                </c:pt>
                <c:pt idx="5">
                  <c:v>20748.333333333332</c:v>
                </c:pt>
                <c:pt idx="6">
                  <c:v>22167.428571428572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[Car_Sales_Kaggle_DV0130EN_Lab3_End_dashboard.xlsx]Bar Chart!PivotTable4</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b="1" i="0" u="none" strike="noStrike" baseline="0"/>
              <a:t>Average Price and Year Resale Value of German Car Models</a:t>
            </a:r>
            <a:endParaRPr lang="en-US" sz="11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Chart'!$A$4:$A$11</c:f>
              <c:strCache>
                <c:ptCount val="7"/>
                <c:pt idx="0">
                  <c:v>Jaguar</c:v>
                </c:pt>
                <c:pt idx="1">
                  <c:v>Jeep</c:v>
                </c:pt>
                <c:pt idx="2">
                  <c:v>Lexus</c:v>
                </c:pt>
                <c:pt idx="3">
                  <c:v>Lincoln</c:v>
                </c:pt>
                <c:pt idx="4">
                  <c:v>Mercedes-B</c:v>
                </c:pt>
                <c:pt idx="5">
                  <c:v>Mercury</c:v>
                </c:pt>
                <c:pt idx="6">
                  <c:v>Mitsubishi</c:v>
                </c:pt>
              </c:strCache>
            </c:strRef>
          </c:cat>
          <c:val>
            <c:numRef>
              <c:f>'Bar Chart'!$B$4:$B$11</c:f>
              <c:numCache>
                <c:formatCode>"$"#,##0.00</c:formatCode>
                <c:ptCount val="7"/>
                <c:pt idx="0">
                  <c:v>33219</c:v>
                </c:pt>
                <c:pt idx="1">
                  <c:v>15353.333333333334</c:v>
                </c:pt>
                <c:pt idx="2">
                  <c:v>35231.666666666664</c:v>
                </c:pt>
                <c:pt idx="3">
                  <c:v>21005</c:v>
                </c:pt>
                <c:pt idx="4">
                  <c:v>39876.555555555555</c:v>
                </c:pt>
                <c:pt idx="5">
                  <c:v>13970</c:v>
                </c:pt>
                <c:pt idx="6">
                  <c:v>14262.142857142857</c:v>
                </c:pt>
              </c:numCache>
            </c:numRef>
          </c:val>
          <c:extLst>
            <c:ext xmlns:c16="http://schemas.microsoft.com/office/drawing/2014/chart" uri="{C3380CC4-5D6E-409C-BE32-E72D297353CC}">
              <c16:uniqueId val="{00000000-3C14-4361-BF6E-5107BDD482D2}"/>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Chart'!$A$4:$A$11</c:f>
              <c:strCache>
                <c:ptCount val="7"/>
                <c:pt idx="0">
                  <c:v>Jaguar</c:v>
                </c:pt>
                <c:pt idx="1">
                  <c:v>Jeep</c:v>
                </c:pt>
                <c:pt idx="2">
                  <c:v>Lexus</c:v>
                </c:pt>
                <c:pt idx="3">
                  <c:v>Lincoln</c:v>
                </c:pt>
                <c:pt idx="4">
                  <c:v>Mercedes-B</c:v>
                </c:pt>
                <c:pt idx="5">
                  <c:v>Mercury</c:v>
                </c:pt>
                <c:pt idx="6">
                  <c:v>Mitsubishi</c:v>
                </c:pt>
              </c:strCache>
            </c:strRef>
          </c:cat>
          <c:val>
            <c:numRef>
              <c:f>'Bar Chart'!$C$4:$C$11</c:f>
              <c:numCache>
                <c:formatCode>"$"#,##0.00</c:formatCode>
                <c:ptCount val="7"/>
                <c:pt idx="0">
                  <c:v>42800</c:v>
                </c:pt>
                <c:pt idx="1">
                  <c:v>20991.666666666668</c:v>
                </c:pt>
                <c:pt idx="2">
                  <c:v>44055</c:v>
                </c:pt>
                <c:pt idx="3">
                  <c:v>41690</c:v>
                </c:pt>
                <c:pt idx="4">
                  <c:v>52916.666666666664</c:v>
                </c:pt>
                <c:pt idx="5">
                  <c:v>20748.333333333332</c:v>
                </c:pt>
                <c:pt idx="6">
                  <c:v>22167.428571428572</c:v>
                </c:pt>
              </c:numCache>
            </c:numRef>
          </c:val>
          <c:extLst>
            <c:ext xmlns:c16="http://schemas.microsoft.com/office/drawing/2014/chart" uri="{C3380CC4-5D6E-409C-BE32-E72D297353CC}">
              <c16:uniqueId val="{00000001-3C14-4361-BF6E-5107BDD482D2}"/>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4722-4849-9209-4C4F591F1475}"/>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695-431A-887C-B10092CB640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695-431A-887C-B10092CB640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695-431A-887C-B10092CB640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695-431A-887C-B10092CB640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E695-431A-887C-B10092CB640B}"/>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695-431A-887C-B10092CB640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E695-431A-887C-B10092CB640B}"/>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microsoft.com/office/2014/relationships/chartEx" Target="../charts/chartEx1.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1019175</xdr:colOff>
      <xdr:row>4</xdr:row>
      <xdr:rowOff>161925</xdr:rowOff>
    </xdr:from>
    <xdr:to>
      <xdr:col>15</xdr:col>
      <xdr:colOff>381000</xdr:colOff>
      <xdr:row>35</xdr:row>
      <xdr:rowOff>0</xdr:rowOff>
    </xdr:to>
    <xdr:graphicFrame macro="">
      <xdr:nvGraphicFramePr>
        <xdr:cNvPr id="5" name="Chart 4">
          <a:extLst>
            <a:ext uri="{FF2B5EF4-FFF2-40B4-BE49-F238E27FC236}">
              <a16:creationId xmlns:a16="http://schemas.microsoft.com/office/drawing/2014/main" id="{6A490452-651E-4DD6-8406-8BD03F7E9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60500" y="4956175"/>
              <a:ext cx="41021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xdr:colOff>
      <xdr:row>2</xdr:row>
      <xdr:rowOff>0</xdr:rowOff>
    </xdr:from>
    <xdr:to>
      <xdr:col>11</xdr:col>
      <xdr:colOff>346364</xdr:colOff>
      <xdr:row>22</xdr:row>
      <xdr:rowOff>144318</xdr:rowOff>
    </xdr:to>
    <xdr:graphicFrame macro="">
      <xdr:nvGraphicFramePr>
        <xdr:cNvPr id="2" name="Chart 1">
          <a:extLst>
            <a:ext uri="{FF2B5EF4-FFF2-40B4-BE49-F238E27FC236}">
              <a16:creationId xmlns:a16="http://schemas.microsoft.com/office/drawing/2014/main" id="{21FCADAA-BB4F-4F57-BD5D-8CD89F490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406556</xdr:colOff>
      <xdr:row>2</xdr:row>
      <xdr:rowOff>11616</xdr:rowOff>
    </xdr:from>
    <xdr:to>
      <xdr:col>20</xdr:col>
      <xdr:colOff>297085</xdr:colOff>
      <xdr:row>22</xdr:row>
      <xdr:rowOff>144317</xdr:rowOff>
    </xdr:to>
    <xdr:graphicFrame macro="">
      <xdr:nvGraphicFramePr>
        <xdr:cNvPr id="8" name="Chart 7">
          <a:extLst>
            <a:ext uri="{FF2B5EF4-FFF2-40B4-BE49-F238E27FC236}">
              <a16:creationId xmlns:a16="http://schemas.microsoft.com/office/drawing/2014/main" id="{AA998FE7-3B97-48E0-8D79-0DC222255D32}"/>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332797</xdr:colOff>
      <xdr:row>23</xdr:row>
      <xdr:rowOff>9524</xdr:rowOff>
    </xdr:from>
    <xdr:to>
      <xdr:col>15</xdr:col>
      <xdr:colOff>586509</xdr:colOff>
      <xdr:row>39</xdr:row>
      <xdr:rowOff>57149</xdr:rowOff>
    </xdr:to>
    <xdr:graphicFrame macro="">
      <xdr:nvGraphicFramePr>
        <xdr:cNvPr id="9" name="Chart 8">
          <a:extLst>
            <a:ext uri="{FF2B5EF4-FFF2-40B4-BE49-F238E27FC236}">
              <a16:creationId xmlns:a16="http://schemas.microsoft.com/office/drawing/2014/main" id="{7C28CE8E-5B88-41C5-8A07-4ECB610E02E7}"/>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604982</xdr:colOff>
      <xdr:row>23</xdr:row>
      <xdr:rowOff>2885</xdr:rowOff>
    </xdr:from>
    <xdr:to>
      <xdr:col>8</xdr:col>
      <xdr:colOff>319232</xdr:colOff>
      <xdr:row>39</xdr:row>
      <xdr:rowOff>9525</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F935FFE7-45B6-4249-A336-77B2EBB42551}"/>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04982" y="4317999"/>
              <a:ext cx="4563341" cy="30084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16</xdr:col>
      <xdr:colOff>20360</xdr:colOff>
      <xdr:row>23</xdr:row>
      <xdr:rowOff>63443</xdr:rowOff>
    </xdr:from>
    <xdr:to>
      <xdr:col>18</xdr:col>
      <xdr:colOff>511098</xdr:colOff>
      <xdr:row>38</xdr:row>
      <xdr:rowOff>104543</xdr:rowOff>
    </xdr:to>
    <mc:AlternateContent xmlns:mc="http://schemas.openxmlformats.org/markup-compatibility/2006">
      <mc:Choice xmlns:sle15="http://schemas.microsoft.com/office/drawing/2012/slicer" Requires="sle15">
        <xdr:graphicFrame macro="">
          <xdr:nvGraphicFramePr>
            <xdr:cNvPr id="12" name="Model 1">
              <a:extLst>
                <a:ext uri="{FF2B5EF4-FFF2-40B4-BE49-F238E27FC236}">
                  <a16:creationId xmlns:a16="http://schemas.microsoft.com/office/drawing/2014/main" id="{C3C1FC32-F3BA-4E9F-989D-CAC75B5A0AE4}"/>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9704110" y="4399302"/>
              <a:ext cx="1701207" cy="286883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11</xdr:col>
      <xdr:colOff>375228</xdr:colOff>
      <xdr:row>2</xdr:row>
      <xdr:rowOff>11616</xdr:rowOff>
    </xdr:from>
    <xdr:to>
      <xdr:col>13</xdr:col>
      <xdr:colOff>394939</xdr:colOff>
      <xdr:row>22</xdr:row>
      <xdr:rowOff>58080</xdr:rowOff>
    </xdr:to>
    <mc:AlternateContent xmlns:mc="http://schemas.openxmlformats.org/markup-compatibility/2006">
      <mc:Choice xmlns:a14="http://schemas.microsoft.com/office/drawing/2010/main" Requires="a14">
        <xdr:graphicFrame macro="">
          <xdr:nvGraphicFramePr>
            <xdr:cNvPr id="13" name="Manufacturer 1">
              <a:extLst>
                <a:ext uri="{FF2B5EF4-FFF2-40B4-BE49-F238E27FC236}">
                  <a16:creationId xmlns:a16="http://schemas.microsoft.com/office/drawing/2014/main" id="{D7D9A0B2-65B5-489B-92C8-0871E7C92FB8}"/>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7032806" y="388647"/>
              <a:ext cx="1230180" cy="3816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8">
  <location ref="A3:C11"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h="1" sd="0" x="2"/>
        <item h="1" sd="0" x="3"/>
        <item h="1" sd="0" x="4"/>
        <item h="1" sd="0" x="5"/>
        <item h="1" sd="0" x="6"/>
        <item h="1" sd="0" x="7"/>
        <item h="1" sd="0" x="8"/>
        <item h="1" sd="0" x="9"/>
        <item h="1" sd="0" x="10"/>
        <item h="1" sd="0" x="11"/>
        <item sd="0" x="12"/>
        <item sd="0" x="13"/>
        <item sd="0" x="14"/>
        <item sd="0" x="15"/>
        <item sd="0" x="18"/>
        <item sd="0" x="17"/>
        <item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8">
    <i>
      <x v="12"/>
    </i>
    <i>
      <x v="13"/>
    </i>
    <i>
      <x v="14"/>
    </i>
    <i>
      <x v="15"/>
    </i>
    <i>
      <x v="16"/>
    </i>
    <i>
      <x v="17"/>
    </i>
    <i>
      <x v="1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57">
      <pivotArea outline="0" collapsedLevelsAreSubtotals="1" fieldPosition="0">
        <references count="1">
          <reference field="4294967294" count="1" selected="0">
            <x v="0"/>
          </reference>
        </references>
      </pivotArea>
    </format>
    <format dxfId="56">
      <pivotArea dataOnly="0" labelOnly="1" outline="0" fieldPosition="0">
        <references count="1">
          <reference field="4294967294" count="1">
            <x v="0"/>
          </reference>
        </references>
      </pivotArea>
    </format>
    <format dxfId="55">
      <pivotArea outline="0" collapsedLevelsAreSubtotals="1" fieldPosition="0">
        <references count="1">
          <reference field="4294967294" count="1" selected="0">
            <x v="1"/>
          </reference>
        </references>
      </pivotArea>
    </format>
    <format dxfId="54">
      <pivotArea dataOnly="0" labelOnly="1" outline="0" fieldPosition="0">
        <references count="1">
          <reference field="4294967294" count="1">
            <x v="1"/>
          </reference>
        </references>
      </pivotArea>
    </format>
  </formats>
  <chartFormats count="1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i x="2"/>
        <i x="3"/>
        <i x="4"/>
        <i x="5"/>
        <i x="6"/>
        <i x="7"/>
        <i x="8"/>
        <i x="9"/>
        <i x="10"/>
        <i x="11"/>
        <i x="12" s="1"/>
        <i x="13" s="1"/>
        <i x="14" s="1"/>
        <i x="15" s="1"/>
        <i x="18" s="1"/>
        <i x="17" s="1"/>
        <i x="16" s="1"/>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088C4506-1627-4946-9F88-FA5EA4A19EA9}" cache="Slicer_Manufacturer" caption="Manufacturer" startItem="12"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F17E0EE9-79FD-4F90-B696-FBADC83569D0}"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77" headerRowCellStyle="60% - Accent1">
  <autoFilter ref="A1:S156" xr:uid="{142A1155-8F99-4580-8274-3FFCD265F860}"/>
  <tableColumns count="19">
    <tableColumn id="2" xr3:uid="{0090DD31-AAEF-418B-A6D5-5A47F973884A}" name="Manufacturer" dataDxfId="76" dataCellStyle="60% - Accent2"/>
    <tableColumn id="1" xr3:uid="{1D457C4B-D2B8-4760-9FBD-20980339C812}" name="Model" dataDxfId="75" dataCellStyle="60% - Accent6"/>
    <tableColumn id="4" xr3:uid="{8522711B-6353-4D72-9921-4036DEB24699}" name="Unit Sales" dataDxfId="74"/>
    <tableColumn id="5" xr3:uid="{3F2EFF05-CEC1-43C4-8457-EC0A04BFE37D}" name="Price" dataDxfId="73"/>
    <tableColumn id="6" xr3:uid="{D0C7E9A3-6A78-4834-995F-71A07F7E5FEC}" name="Year Resale Value" dataDxfId="72"/>
    <tableColumn id="7" xr3:uid="{2892AE5C-2583-41F9-9297-9EA4C2895B5F}" name="Retention %" dataDxfId="71" dataCellStyle="Percent">
      <calculatedColumnFormula>SUM(E2/D2)</calculatedColumnFormula>
    </tableColumn>
    <tableColumn id="8" xr3:uid="{40A7E790-705B-474C-BD5E-B93CFDEAAD37}" name="Retention Value" dataDxfId="70" dataCellStyle="Percent">
      <calculatedColumnFormula>IF(F2&gt;69%, "GOOD", "POOR")</calculatedColumnFormula>
    </tableColumn>
    <tableColumn id="9" xr3:uid="{9FD1D782-0EB9-4AC8-9FB6-1F5437BC6100}" name="Engine Size" dataDxfId="69"/>
    <tableColumn id="10" xr3:uid="{97F7DE8D-9589-426B-AA4F-2E3F8BB7A81B}" name="Horsepower" dataDxfId="68"/>
    <tableColumn id="11" xr3:uid="{4CB9C68E-A6F1-497A-9877-E41495059145}" name="HP Level" dataDxfId="67">
      <calculatedColumnFormula array="1">_xlfn.IFS(I2&gt;299,"High HP",I2&gt;99,"Medium HP",I2&lt;100,"Low HP")</calculatedColumnFormula>
    </tableColumn>
    <tableColumn id="3" xr3:uid="{3733B2DD-D65D-439A-9EC2-28F65DC369D7}" name="Vehicle_type" dataDxfId="66"/>
    <tableColumn id="17" xr3:uid="{5136D0F0-2F8F-4D70-995F-CE39B1996127}" name="Fuel Efficiency" dataDxfId="65"/>
    <tableColumn id="19" xr3:uid="{5F133F36-F1C6-453A-A10C-A9917A623804}" name="Power Perf Factor" dataDxfId="64"/>
    <tableColumn id="12" xr3:uid="{6E551230-1170-40DA-8649-BDDA922271D8}" name="Wheelbase" dataDxfId="63"/>
    <tableColumn id="13" xr3:uid="{53A36FF3-E823-43B4-958B-9E02EC2B56F7}" name="Width" dataDxfId="62"/>
    <tableColumn id="14" xr3:uid="{0728B768-EB40-4E54-9F8B-8FC310D3272C}" name="Length" dataDxfId="61"/>
    <tableColumn id="15" xr3:uid="{2264EB11-0818-4B2A-A027-42B066FA9869}" name="Curb Weight" dataDxfId="60"/>
    <tableColumn id="16" xr3:uid="{58B24934-BE7E-4FBD-9F96-CEF0725C6117}" name="Fuel Capacity" dataDxfId="59"/>
    <tableColumn id="18" xr3:uid="{00FF364F-DDBE-4E2C-8F3E-DBDA321FA22A}" name="Latest Launch" dataDxfId="58"/>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51" headerRowCellStyle="60% - Accent1">
  <autoFilter ref="A1:S156" xr:uid="{142A1155-8F99-4580-8274-3FFCD265F860}">
    <filterColumn colId="0">
      <filters>
        <filter val="Toyota"/>
      </filters>
    </filterColumn>
  </autoFilter>
  <sortState xmlns:xlrd2="http://schemas.microsoft.com/office/spreadsheetml/2017/richdata2" ref="A2:N156">
    <sortCondition ref="B1:B156"/>
  </sortState>
  <tableColumns count="19">
    <tableColumn id="2" xr3:uid="{CCFD9DCD-33DA-4C1C-B39D-1F8C0CA940C0}" name="Manufacturer" dataDxfId="50" dataCellStyle="60% - Accent2"/>
    <tableColumn id="1" xr3:uid="{91732ACF-B59B-4736-A06E-BE7ADB4669C2}" name="Model" dataDxfId="49" dataCellStyle="60% - Accent6"/>
    <tableColumn id="4" xr3:uid="{AC38EB39-9FE7-4815-9A95-BD4739621249}" name="Unit Sales" dataDxfId="48"/>
    <tableColumn id="5" xr3:uid="{48155666-2FFE-4435-98FA-77A71F62A4CD}" name="Price" dataDxfId="47"/>
    <tableColumn id="6" xr3:uid="{E6C9B305-43C4-4AA9-AF99-52F226A2A489}" name="Year Resale Value" dataDxfId="46"/>
    <tableColumn id="7" xr3:uid="{53AB75B2-B4C7-4B08-A310-E333B5D08F1E}" name="Retention %" dataDxfId="45" dataCellStyle="Percent">
      <calculatedColumnFormula>SUM(E2/D2)</calculatedColumnFormula>
    </tableColumn>
    <tableColumn id="8" xr3:uid="{14C0ED08-C800-44FC-AEFF-AD4CB3BA4CE3}" name="Retention Value" dataDxfId="44" dataCellStyle="Percent">
      <calculatedColumnFormula>IF(F2&gt;69%, "GOOD", "POOR")</calculatedColumnFormula>
    </tableColumn>
    <tableColumn id="9" xr3:uid="{2D1C7A45-6CF4-4F66-812C-40A50CEEFE3C}" name="Engine Size" dataDxfId="43"/>
    <tableColumn id="10" xr3:uid="{6F868495-C5F3-4EB0-A931-7DB5EE263B04}" name="Horsepower" dataDxfId="42"/>
    <tableColumn id="11" xr3:uid="{21D8283C-331B-4FBC-ADCB-511EC8FEEA5B}" name="HP Level" dataDxfId="41">
      <calculatedColumnFormula array="1">_xlfn.IFS(I2&gt;299,"High HP",I2&gt;99,"Medium HP",I2&lt;100,"Low HP")</calculatedColumnFormula>
    </tableColumn>
    <tableColumn id="3" xr3:uid="{D8DD2294-3DBB-4222-BDE1-25B41E8C6E23}" name="Vehicle_type" dataDxfId="40"/>
    <tableColumn id="17" xr3:uid="{41974CDD-17C2-4811-8CA1-4FE62EF36874}" name="Fuel Efficiency" dataDxfId="39"/>
    <tableColumn id="19" xr3:uid="{FF974689-EC10-4BD7-931E-F6D2FC8A04BB}" name="Power Perf Factor" dataDxfId="38"/>
    <tableColumn id="16" xr3:uid="{A47D6D7B-55BF-4939-8425-7A7DC0E408AE}" name="Fuel Capacity" dataDxfId="37"/>
    <tableColumn id="12" xr3:uid="{59E0B2CA-E73A-4CDD-A62F-F1A4C75E90F7}" name="Wheelbase" dataDxfId="36"/>
    <tableColumn id="13" xr3:uid="{1318511A-327E-4603-9CFA-8A67BC21BEB8}" name="Width" dataDxfId="35"/>
    <tableColumn id="14" xr3:uid="{B48108FE-8EF4-43AB-ACEA-F7B30A9D3C55}" name="Length" dataDxfId="34"/>
    <tableColumn id="15" xr3:uid="{1C70CD07-6AE4-4D29-95C6-1D02DF8772F3}" name="Curb Weight" dataDxfId="33"/>
    <tableColumn id="18" xr3:uid="{801588FA-173B-403F-BAF7-D1F66FFF62EA}" name="Latest Launch" dataDxfId="32"/>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40625" defaultRowHeight="15" x14ac:dyDescent="0.2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x14ac:dyDescent="0.25">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2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25">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25">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25">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2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2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2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2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2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25">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2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2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2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2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25">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2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25">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2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25">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2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x14ac:dyDescent="0.2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2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2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2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2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2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2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2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2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2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2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2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2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2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2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2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2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2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2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2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2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2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2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2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2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2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2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2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2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2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2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2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2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2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2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2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2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2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2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2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2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2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2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2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2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2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2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2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2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2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2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2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2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2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2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2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2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2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2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2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2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2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2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2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2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2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2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2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2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2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2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2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2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2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2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2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2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2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2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2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2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2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2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2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2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2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2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2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2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2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2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2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2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2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2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2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2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2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2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2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2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2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2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2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2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2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2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2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2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2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2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2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2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2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25">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25">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25">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25">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25">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25">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25">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25">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25">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2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2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2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2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2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2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2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2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2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2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2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2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79" priority="5" operator="containsText" text="GOOD">
      <formula>NOT(ISERROR(SEARCH("GOOD",G2)))</formula>
    </cfRule>
  </conditionalFormatting>
  <conditionalFormatting sqref="G2:G156">
    <cfRule type="containsText" dxfId="78" priority="3" operator="containsText" text="POOR">
      <formula>NOT(ISERROR(SEARCH("POOR",G2)))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C2" workbookViewId="0">
      <selection activeCell="T26" sqref="T26"/>
    </sheetView>
  </sheetViews>
  <sheetFormatPr defaultColWidth="8.85546875" defaultRowHeight="15" x14ac:dyDescent="0.25"/>
  <cols>
    <col min="1" max="1" width="13.5703125" bestFit="1" customWidth="1"/>
    <col min="2" max="2" width="27.42578125" style="18" bestFit="1" customWidth="1"/>
    <col min="3" max="3" width="15.5703125" style="18"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x14ac:dyDescent="0.25">
      <c r="A3" s="16" t="s">
        <v>205</v>
      </c>
      <c r="B3" s="18" t="s">
        <v>206</v>
      </c>
      <c r="C3" s="18" t="s">
        <v>207</v>
      </c>
    </row>
    <row r="4" spans="1:3" x14ac:dyDescent="0.25">
      <c r="A4" s="17" t="s">
        <v>97</v>
      </c>
      <c r="B4" s="18">
        <v>33219</v>
      </c>
      <c r="C4" s="18">
        <v>42800</v>
      </c>
    </row>
    <row r="5" spans="1:3" x14ac:dyDescent="0.25">
      <c r="A5" s="17" t="s">
        <v>99</v>
      </c>
      <c r="B5" s="18">
        <v>15353.333333333334</v>
      </c>
      <c r="C5" s="18">
        <v>20991.666666666668</v>
      </c>
    </row>
    <row r="6" spans="1:3" x14ac:dyDescent="0.25">
      <c r="A6" s="17" t="s">
        <v>103</v>
      </c>
      <c r="B6" s="18">
        <v>35231.666666666664</v>
      </c>
      <c r="C6" s="18">
        <v>44055</v>
      </c>
    </row>
    <row r="7" spans="1:3" x14ac:dyDescent="0.25">
      <c r="A7" s="17" t="s">
        <v>110</v>
      </c>
      <c r="B7" s="18">
        <v>21005</v>
      </c>
      <c r="C7" s="18">
        <v>41690</v>
      </c>
    </row>
    <row r="8" spans="1:3" x14ac:dyDescent="0.25">
      <c r="A8" s="17" t="s">
        <v>129</v>
      </c>
      <c r="B8" s="18">
        <v>39876.555555555555</v>
      </c>
      <c r="C8" s="18">
        <v>52916.666666666664</v>
      </c>
    </row>
    <row r="9" spans="1:3" x14ac:dyDescent="0.25">
      <c r="A9" s="17" t="s">
        <v>122</v>
      </c>
      <c r="B9" s="18">
        <v>13970</v>
      </c>
      <c r="C9" s="18">
        <v>20748.333333333332</v>
      </c>
    </row>
    <row r="10" spans="1:3" x14ac:dyDescent="0.25">
      <c r="A10" s="17" t="s">
        <v>114</v>
      </c>
      <c r="B10" s="18">
        <v>14262.142857142857</v>
      </c>
      <c r="C10" s="18">
        <v>22167.428571428572</v>
      </c>
    </row>
    <row r="11" spans="1:3" x14ac:dyDescent="0.25">
      <c r="A11" s="17" t="s">
        <v>208</v>
      </c>
      <c r="B11" s="18">
        <v>25606.514285714286</v>
      </c>
      <c r="C11" s="18">
        <v>35745.342857142859</v>
      </c>
    </row>
    <row r="12" spans="1:3" x14ac:dyDescent="0.25">
      <c r="B12"/>
      <c r="C12"/>
    </row>
    <row r="13" spans="1:3" x14ac:dyDescent="0.25">
      <c r="B13"/>
      <c r="C13"/>
    </row>
    <row r="14" spans="1:3" x14ac:dyDescent="0.25">
      <c r="B14"/>
      <c r="C14"/>
    </row>
    <row r="15" spans="1:3" x14ac:dyDescent="0.25">
      <c r="B15"/>
      <c r="C15"/>
    </row>
    <row r="16" spans="1:3"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75" zoomScaleNormal="100" workbookViewId="0">
      <selection activeCell="K181" sqref="K181"/>
    </sheetView>
  </sheetViews>
  <sheetFormatPr defaultColWidth="9.140625" defaultRowHeight="15" x14ac:dyDescent="0.2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x14ac:dyDescent="0.25">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2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25">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25">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25">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2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2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2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2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2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25">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2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2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2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2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25">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2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25">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2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25">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2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x14ac:dyDescent="0.2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2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2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2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2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2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2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2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2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2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2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2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2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2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2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2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2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2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2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2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2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2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2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2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2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2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2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2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2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2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2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2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2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2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2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2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2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2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2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2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2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2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2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2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2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2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2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2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2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2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2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2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2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2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2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2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2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2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2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2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2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2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2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2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2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2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2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2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2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2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2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2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2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2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2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2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2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2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2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2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2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2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2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2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2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2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2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2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2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2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2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2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2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2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2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2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2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2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2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2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2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2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2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2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2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2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2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2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2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2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2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2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2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2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25">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25">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25">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25">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25">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25">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25">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25">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25">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2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2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2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2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2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2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2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2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2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2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2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2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53" priority="2" operator="containsText" text="GOOD">
      <formula>NOT(ISERROR(SEARCH("GOOD",G2)))</formula>
    </cfRule>
  </conditionalFormatting>
  <conditionalFormatting sqref="G2:G156">
    <cfRule type="containsText" dxfId="52" priority="1" operator="containsText" text="POOR">
      <formula>NOT(ISERROR(SEARCH("POOR",G2)))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F1965-F2F4-42AC-8375-40BE7E90555A}">
  <dimension ref="A1"/>
  <sheetViews>
    <sheetView showGridLines="0" showRowColHeaders="0" tabSelected="1" zoomScale="96" zoomScaleNormal="96" workbookViewId="0">
      <selection activeCell="V5" sqref="V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mahdi hasan</cp:lastModifiedBy>
  <cp:revision/>
  <dcterms:created xsi:type="dcterms:W3CDTF">2020-05-21T14:49:04Z</dcterms:created>
  <dcterms:modified xsi:type="dcterms:W3CDTF">2025-12-23T08:57:29Z</dcterms:modified>
  <cp:category/>
  <cp:contentStatus/>
</cp:coreProperties>
</file>